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ueppim\Documents\Github\BauhallenUhr\"/>
    </mc:Choice>
  </mc:AlternateContent>
  <xr:revisionPtr revIDLastSave="0" documentId="13_ncr:1_{B5F10DA9-8EC2-45B0-99CC-8F1CA9DC77D0}" xr6:coauthVersionLast="36" xr6:coauthVersionMax="47" xr10:uidLastSave="{00000000-0000-0000-0000-000000000000}"/>
  <bookViews>
    <workbookView xWindow="44385" yWindow="3855" windowWidth="28800" windowHeight="15345" tabRatio="500" activeTab="1" xr2:uid="{00000000-000D-0000-FFFF-FFFF00000000}"/>
  </bookViews>
  <sheets>
    <sheet name="Zeitplan wöchentlich" sheetId="1" r:id="rId1"/>
    <sheet name="Arbeitseinträge täglich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6" i="2" l="1"/>
  <c r="E36" i="2" s="1"/>
  <c r="C37" i="2"/>
  <c r="C48" i="2"/>
  <c r="D47" i="2"/>
  <c r="E47" i="2" s="1"/>
  <c r="D46" i="2"/>
  <c r="E46" i="2" s="1"/>
  <c r="D45" i="2"/>
  <c r="E45" i="2" s="1"/>
  <c r="D44" i="2"/>
  <c r="E44" i="2" s="1"/>
  <c r="D43" i="2"/>
  <c r="E43" i="2" s="1"/>
  <c r="D42" i="2"/>
  <c r="E42" i="2" s="1"/>
  <c r="D41" i="2"/>
  <c r="E41" i="2" s="1"/>
  <c r="D40" i="2"/>
  <c r="D35" i="2"/>
  <c r="E35" i="2" s="1"/>
  <c r="D34" i="2"/>
  <c r="E34" i="2" s="1"/>
  <c r="D33" i="2"/>
  <c r="D37" i="2" l="1"/>
  <c r="E37" i="2" s="1"/>
  <c r="D48" i="2"/>
  <c r="E48" i="2" s="1"/>
  <c r="E33" i="2"/>
  <c r="E40" i="2"/>
</calcChain>
</file>

<file path=xl/sharedStrings.xml><?xml version="1.0" encoding="utf-8"?>
<sst xmlns="http://schemas.openxmlformats.org/spreadsheetml/2006/main" count="185" uniqueCount="79">
  <si>
    <t>Bauhalle Zeitplan wöchentlich</t>
  </si>
  <si>
    <t>Aktuelle KW</t>
  </si>
  <si>
    <t>Kalenderwoche</t>
  </si>
  <si>
    <t>KW28</t>
  </si>
  <si>
    <t>KW29</t>
  </si>
  <si>
    <t>KW30</t>
  </si>
  <si>
    <t>KW31</t>
  </si>
  <si>
    <t>KW32</t>
  </si>
  <si>
    <t>KW33</t>
  </si>
  <si>
    <t>KW34</t>
  </si>
  <si>
    <t>KW35</t>
  </si>
  <si>
    <t>KW36</t>
  </si>
  <si>
    <t>KW37</t>
  </si>
  <si>
    <t>KW38</t>
  </si>
  <si>
    <t>KW39</t>
  </si>
  <si>
    <t>KW40</t>
  </si>
  <si>
    <t>KW41</t>
  </si>
  <si>
    <t>KW42</t>
  </si>
  <si>
    <t>KW43</t>
  </si>
  <si>
    <t>KW44</t>
  </si>
  <si>
    <t>KW45</t>
  </si>
  <si>
    <t>Datum Montag</t>
  </si>
  <si>
    <t>Projekt</t>
  </si>
  <si>
    <t>Thermostat</t>
  </si>
  <si>
    <t>BauhallenUhr</t>
  </si>
  <si>
    <t>Ferien</t>
  </si>
  <si>
    <t>Begin ProbeIPA</t>
  </si>
  <si>
    <t>Tätigkeit</t>
  </si>
  <si>
    <t>Informieren</t>
  </si>
  <si>
    <t>Testaufbau</t>
  </si>
  <si>
    <t>Informieren
Schema</t>
  </si>
  <si>
    <t>Schema</t>
  </si>
  <si>
    <t>Layout
Mech. Bauteile</t>
  </si>
  <si>
    <t>Testing</t>
  </si>
  <si>
    <t>Code</t>
  </si>
  <si>
    <t>Montage</t>
  </si>
  <si>
    <t>Projekte Dominik</t>
  </si>
  <si>
    <t>WoodMoisture</t>
  </si>
  <si>
    <t>Widerstandsdekade V0.2</t>
  </si>
  <si>
    <t>Projekte Martin</t>
  </si>
  <si>
    <t>Hat Priorität, bis abgeschlossen</t>
  </si>
  <si>
    <t>Grobe Zeitschätzung pro Bereich</t>
  </si>
  <si>
    <t>Zeit Schätzung ersetzen mit Tätigkeit</t>
  </si>
  <si>
    <t>✓</t>
  </si>
  <si>
    <t>Siehe Arbeitseinträge täglich!!!!</t>
  </si>
  <si>
    <t>ProbeIPA Termin Anfang November</t>
  </si>
  <si>
    <t>Tätigkeiten</t>
  </si>
  <si>
    <t>Laufend Zeiteinschätzung ändern (Täglich oder pro Milestone)</t>
  </si>
  <si>
    <t>ProbeIPA Anforderungen nochmals anschauen.</t>
  </si>
  <si>
    <t>Gesamt</t>
  </si>
  <si>
    <t>Mechanische Bauteile</t>
  </si>
  <si>
    <t>Elektronische Bauteile</t>
  </si>
  <si>
    <t>Layout</t>
  </si>
  <si>
    <t>Arbeitseinträge täglich</t>
  </si>
  <si>
    <t>Wochentag</t>
  </si>
  <si>
    <t>Datum</t>
  </si>
  <si>
    <t>KW</t>
  </si>
  <si>
    <t>Zeitaufwand</t>
  </si>
  <si>
    <t>Montag</t>
  </si>
  <si>
    <t>Dienstag</t>
  </si>
  <si>
    <t>Mittwoch</t>
  </si>
  <si>
    <t>Donnerstag</t>
  </si>
  <si>
    <t>Soll - Stunden</t>
  </si>
  <si>
    <t>Ist - Stunden</t>
  </si>
  <si>
    <t>Bewertung</t>
  </si>
  <si>
    <t>Status</t>
  </si>
  <si>
    <t>Erledigt</t>
  </si>
  <si>
    <t>Offen</t>
  </si>
  <si>
    <t>Gehäuse</t>
  </si>
  <si>
    <t>Freitag</t>
  </si>
  <si>
    <t>Kommentare</t>
  </si>
  <si>
    <t>Erstes Gehäuse Fehlerhaft, neues Gehäuse machen. Daher mehr Zeit.</t>
  </si>
  <si>
    <t>Ich habe den Aufwand einer Geräteprüfung unterschätzt.</t>
  </si>
  <si>
    <t>Ich habe fast nichts in diesem Punkt aufgeschrieben, sondern immer in dem Bereich, in dem ich mich informiert habe.</t>
  </si>
  <si>
    <t>Gut eingeschätzt.</t>
  </si>
  <si>
    <t>In Ordnung. Da ich mal zu viel mal zu wenig Zeit eingeschätzt hatte.</t>
  </si>
  <si>
    <t>Ich habe viele Änderungen während dem Schema Zeichnen gemacht, diese Zeit hatte ich nicht auf dem Schirm.</t>
  </si>
  <si>
    <t>*</t>
  </si>
  <si>
    <t>Dazu habe ich vergessen, die Bauteilauswahl bei Elektronische Bauteile einzuschreiben.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</si>
</sst>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charset val="1"/>
    </font>
    <font>
      <b/>
      <sz val="16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3F3F76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92D050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79989013336588644"/>
        <bgColor rgb="FFF2CFEE"/>
      </patternFill>
    </fill>
    <fill>
      <patternFill patternType="solid">
        <fgColor rgb="FFFFEB9C"/>
        <bgColor rgb="FFFBE3D6"/>
      </patternFill>
    </fill>
    <fill>
      <patternFill patternType="solid">
        <fgColor rgb="FFC6EFCE"/>
        <bgColor rgb="FFC1E5F5"/>
      </patternFill>
    </fill>
    <fill>
      <patternFill patternType="solid">
        <fgColor rgb="FFFFCC99"/>
        <bgColor rgb="FFFFC7CE"/>
      </patternFill>
    </fill>
    <fill>
      <patternFill patternType="solid">
        <fgColor rgb="FFFFC7CE"/>
        <bgColor rgb="FFF2CFEE"/>
      </patternFill>
    </fill>
    <fill>
      <patternFill patternType="solid">
        <fgColor theme="8" tint="0.79989013336588644"/>
        <bgColor rgb="FFFFC7CE"/>
      </patternFill>
    </fill>
    <fill>
      <patternFill patternType="solid">
        <fgColor theme="4" tint="0.79989013336588644"/>
        <bgColor rgb="FFC6EFCE"/>
      </patternFill>
    </fill>
    <fill>
      <patternFill patternType="solid">
        <fgColor theme="1"/>
        <bgColor rgb="FF003300"/>
      </patternFill>
    </fill>
    <fill>
      <patternFill patternType="solid">
        <fgColor theme="3" tint="0.89989928891872917"/>
        <bgColor rgb="FFC1E5F5"/>
      </patternFill>
    </fill>
    <fill>
      <patternFill patternType="solid">
        <fgColor theme="0"/>
        <bgColor rgb="FFDCEAF7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9" fillId="2" borderId="0"/>
    <xf numFmtId="0" fontId="3" fillId="3" borderId="0"/>
    <xf numFmtId="0" fontId="4" fillId="4" borderId="0"/>
    <xf numFmtId="0" fontId="5" fillId="5" borderId="1"/>
    <xf numFmtId="0" fontId="6" fillId="6" borderId="0"/>
    <xf numFmtId="0" fontId="9" fillId="7" borderId="0"/>
    <xf numFmtId="0" fontId="9" fillId="8" borderId="0"/>
    <xf numFmtId="0" fontId="10" fillId="12" borderId="0" applyNumberFormat="0" applyBorder="0" applyAlignment="0" applyProtection="0"/>
    <xf numFmtId="0" fontId="11" fillId="13" borderId="0" applyNumberFormat="0" applyBorder="0" applyAlignment="0" applyProtection="0"/>
    <xf numFmtId="0" fontId="12" fillId="14" borderId="0" applyNumberFormat="0" applyBorder="0" applyAlignment="0" applyProtection="0"/>
  </cellStyleXfs>
  <cellXfs count="58">
    <xf numFmtId="0" fontId="0" fillId="0" borderId="0" xfId="0"/>
    <xf numFmtId="0" fontId="3" fillId="3" borderId="2" xfId="2" applyBorder="1" applyAlignment="1">
      <alignment horizontal="center"/>
    </xf>
    <xf numFmtId="0" fontId="9" fillId="2" borderId="2" xfId="1" applyBorder="1" applyAlignment="1">
      <alignment horizontal="center"/>
    </xf>
    <xf numFmtId="0" fontId="2" fillId="0" borderId="2" xfId="0" applyFont="1" applyBorder="1"/>
    <xf numFmtId="0" fontId="0" fillId="0" borderId="2" xfId="0" applyBorder="1"/>
    <xf numFmtId="0" fontId="0" fillId="9" borderId="2" xfId="0" applyFill="1" applyBorder="1"/>
    <xf numFmtId="0" fontId="2" fillId="10" borderId="2" xfId="0" applyFont="1" applyFill="1" applyBorder="1"/>
    <xf numFmtId="0" fontId="0" fillId="10" borderId="2" xfId="0" applyFill="1" applyBorder="1" applyAlignment="1">
      <alignment horizontal="center"/>
    </xf>
    <xf numFmtId="0" fontId="2" fillId="11" borderId="2" xfId="0" applyFont="1" applyFill="1" applyBorder="1"/>
    <xf numFmtId="0" fontId="3" fillId="3" borderId="2" xfId="2" applyBorder="1" applyAlignment="1">
      <alignment horizontal="center" wrapText="1"/>
    </xf>
    <xf numFmtId="0" fontId="4" fillId="4" borderId="2" xfId="3" applyBorder="1" applyAlignment="1">
      <alignment horizontal="center"/>
    </xf>
    <xf numFmtId="0" fontId="6" fillId="0" borderId="2" xfId="5" applyFill="1" applyBorder="1" applyAlignment="1">
      <alignment horizontal="center"/>
    </xf>
    <xf numFmtId="0" fontId="5" fillId="5" borderId="1" xfId="4" applyAlignment="1">
      <alignment horizontal="center"/>
    </xf>
    <xf numFmtId="0" fontId="2" fillId="0" borderId="0" xfId="0" applyFont="1"/>
    <xf numFmtId="0" fontId="3" fillId="3" borderId="2" xfId="2" applyBorder="1"/>
    <xf numFmtId="0" fontId="9" fillId="7" borderId="2" xfId="6" applyBorder="1"/>
    <xf numFmtId="0" fontId="9" fillId="8" borderId="2" xfId="7" applyBorder="1"/>
    <xf numFmtId="0" fontId="9" fillId="2" borderId="2" xfId="1" applyBorder="1"/>
    <xf numFmtId="0" fontId="7" fillId="0" borderId="0" xfId="0" applyFont="1"/>
    <xf numFmtId="0" fontId="4" fillId="4" borderId="2" xfId="3" applyBorder="1"/>
    <xf numFmtId="0" fontId="7" fillId="0" borderId="3" xfId="0" applyFont="1" applyBorder="1"/>
    <xf numFmtId="0" fontId="0" fillId="0" borderId="4" xfId="0" applyBorder="1"/>
    <xf numFmtId="0" fontId="8" fillId="0" borderId="5" xfId="0" applyFont="1" applyBorder="1"/>
    <xf numFmtId="0" fontId="7" fillId="0" borderId="6" xfId="0" applyFont="1" applyBorder="1"/>
    <xf numFmtId="0" fontId="8" fillId="0" borderId="7" xfId="0" applyFont="1" applyBorder="1"/>
    <xf numFmtId="0" fontId="0" fillId="0" borderId="7" xfId="0" applyBorder="1"/>
    <xf numFmtId="0" fontId="7" fillId="0" borderId="8" xfId="0" applyFont="1" applyBorder="1"/>
    <xf numFmtId="0" fontId="0" fillId="0" borderId="9" xfId="0" applyBorder="1"/>
    <xf numFmtId="0" fontId="0" fillId="0" borderId="10" xfId="0" applyBorder="1"/>
    <xf numFmtId="0" fontId="0" fillId="10" borderId="2" xfId="0" applyFill="1" applyBorder="1"/>
    <xf numFmtId="0" fontId="0" fillId="0" borderId="2" xfId="0" applyBorder="1" applyAlignment="1">
      <alignment horizontal="center"/>
    </xf>
    <xf numFmtId="0" fontId="9" fillId="2" borderId="0" xfId="1" applyAlignment="1">
      <alignment horizontal="center"/>
    </xf>
    <xf numFmtId="0" fontId="9" fillId="2" borderId="10" xfId="1" applyBorder="1"/>
    <xf numFmtId="1" fontId="0" fillId="0" borderId="10" xfId="0" applyNumberFormat="1" applyBorder="1"/>
    <xf numFmtId="1" fontId="0" fillId="0" borderId="2" xfId="0" applyNumberFormat="1" applyBorder="1"/>
    <xf numFmtId="1" fontId="4" fillId="4" borderId="2" xfId="3" applyNumberFormat="1" applyBorder="1"/>
    <xf numFmtId="0" fontId="6" fillId="6" borderId="1" xfId="5" applyBorder="1"/>
    <xf numFmtId="14" fontId="0" fillId="10" borderId="2" xfId="0" applyNumberForma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2" borderId="2" xfId="1" applyFont="1" applyBorder="1" applyAlignment="1">
      <alignment horizontal="center"/>
    </xf>
    <xf numFmtId="0" fontId="10" fillId="12" borderId="2" xfId="8" applyBorder="1"/>
    <xf numFmtId="0" fontId="11" fillId="13" borderId="2" xfId="9" applyBorder="1"/>
    <xf numFmtId="0" fontId="12" fillId="14" borderId="2" xfId="10" applyBorder="1"/>
    <xf numFmtId="0" fontId="2" fillId="11" borderId="2" xfId="0" applyFont="1" applyFill="1" applyBorder="1" applyAlignment="1">
      <alignment horizontal="left" vertical="center"/>
    </xf>
    <xf numFmtId="0" fontId="5" fillId="5" borderId="1" xfId="4" applyAlignment="1">
      <alignment horizontal="center" vertical="top"/>
    </xf>
    <xf numFmtId="0" fontId="3" fillId="3" borderId="2" xfId="2" applyBorder="1" applyAlignment="1">
      <alignment horizontal="center" vertical="top"/>
    </xf>
    <xf numFmtId="0" fontId="4" fillId="4" borderId="2" xfId="3" applyBorder="1" applyAlignment="1">
      <alignment horizontal="center" vertical="top"/>
    </xf>
    <xf numFmtId="0" fontId="1" fillId="0" borderId="0" xfId="0" applyFont="1"/>
    <xf numFmtId="0" fontId="9" fillId="2" borderId="2" xfId="1" applyBorder="1" applyAlignment="1">
      <alignment horizontal="center" vertical="top"/>
    </xf>
    <xf numFmtId="0" fontId="3" fillId="3" borderId="11" xfId="2" applyBorder="1" applyAlignment="1">
      <alignment horizontal="center"/>
    </xf>
    <xf numFmtId="0" fontId="3" fillId="3" borderId="12" xfId="2" applyBorder="1" applyAlignment="1">
      <alignment horizontal="center"/>
    </xf>
    <xf numFmtId="0" fontId="9" fillId="2" borderId="11" xfId="1" applyBorder="1" applyAlignment="1">
      <alignment horizontal="center"/>
    </xf>
    <xf numFmtId="0" fontId="9" fillId="2" borderId="12" xfId="1" applyBorder="1" applyAlignment="1">
      <alignment horizontal="center"/>
    </xf>
    <xf numFmtId="0" fontId="9" fillId="2" borderId="2" xfId="1" applyBorder="1" applyAlignment="1">
      <alignment horizontal="center"/>
    </xf>
    <xf numFmtId="0" fontId="9" fillId="10" borderId="2" xfId="1" applyFill="1" applyBorder="1" applyAlignment="1">
      <alignment horizontal="center"/>
    </xf>
    <xf numFmtId="0" fontId="9" fillId="2" borderId="10" xfId="1" applyBorder="1" applyAlignment="1">
      <alignment horizontal="center"/>
    </xf>
    <xf numFmtId="0" fontId="11" fillId="13" borderId="2" xfId="9" applyBorder="1" applyAlignment="1">
      <alignment horizontal="center"/>
    </xf>
    <xf numFmtId="0" fontId="11" fillId="13" borderId="2" xfId="9" applyBorder="1" applyAlignment="1">
      <alignment horizontal="center"/>
    </xf>
  </cellXfs>
  <cellStyles count="11">
    <cellStyle name="Excel Built-in 20% - Accent1" xfId="7" xr:uid="{00000000-0005-0000-0000-00000C000000}"/>
    <cellStyle name="Excel Built-in 20% - Accent2" xfId="1" xr:uid="{00000000-0005-0000-0000-000006000000}"/>
    <cellStyle name="Excel Built-in 20% - Accent5" xfId="6" xr:uid="{00000000-0005-0000-0000-00000B000000}"/>
    <cellStyle name="Excel Built-in Bad" xfId="5" xr:uid="{00000000-0005-0000-0000-00000A000000}"/>
    <cellStyle name="Excel Built-in Good" xfId="3" xr:uid="{00000000-0005-0000-0000-000008000000}"/>
    <cellStyle name="Excel Built-in Input" xfId="4" xr:uid="{00000000-0005-0000-0000-000009000000}"/>
    <cellStyle name="Excel Built-in Neutral" xfId="2" xr:uid="{00000000-0005-0000-0000-000007000000}"/>
    <cellStyle name="Gut" xfId="8" builtinId="26"/>
    <cellStyle name="Neutral" xfId="10" builtinId="28"/>
    <cellStyle name="Schlecht" xfId="9" builtinId="27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2CFEE"/>
      <rgbColor rgb="FF7F7F7F"/>
      <rgbColor rgb="FF9999FF"/>
      <rgbColor rgb="FF993366"/>
      <rgbColor rgb="FFFBE3D6"/>
      <rgbColor rgb="FFDCEAF7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F3F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4"/>
  <sheetViews>
    <sheetView zoomScale="85" zoomScaleNormal="85" workbookViewId="0">
      <selection activeCell="D21" sqref="D21"/>
    </sheetView>
  </sheetViews>
  <sheetFormatPr baseColWidth="10" defaultColWidth="10.625" defaultRowHeight="14.25"/>
  <cols>
    <col min="1" max="1" width="22.875" customWidth="1"/>
    <col min="2" max="19" width="17.125" customWidth="1"/>
  </cols>
  <sheetData>
    <row r="1" spans="1:19" ht="21" customHeight="1">
      <c r="A1" s="47" t="s">
        <v>0</v>
      </c>
      <c r="B1" s="47"/>
      <c r="C1" s="47"/>
    </row>
    <row r="3" spans="1:19" ht="15">
      <c r="A3" s="3" t="s">
        <v>1</v>
      </c>
      <c r="B3" s="4"/>
      <c r="C3" s="4"/>
      <c r="D3" s="5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spans="1:19" ht="15">
      <c r="A4" s="6" t="s">
        <v>2</v>
      </c>
      <c r="B4" s="7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7" t="s">
        <v>9</v>
      </c>
      <c r="I4" s="7" t="s">
        <v>10</v>
      </c>
      <c r="J4" s="7" t="s">
        <v>11</v>
      </c>
      <c r="K4" s="7" t="s">
        <v>12</v>
      </c>
      <c r="L4" s="7" t="s">
        <v>13</v>
      </c>
      <c r="M4" s="7" t="s">
        <v>14</v>
      </c>
      <c r="N4" s="7" t="s">
        <v>15</v>
      </c>
      <c r="O4" s="7" t="s">
        <v>16</v>
      </c>
      <c r="P4" s="7" t="s">
        <v>17</v>
      </c>
      <c r="Q4" s="7" t="s">
        <v>18</v>
      </c>
      <c r="R4" s="7" t="s">
        <v>19</v>
      </c>
      <c r="S4" s="7" t="s">
        <v>20</v>
      </c>
    </row>
    <row r="5" spans="1:19" ht="15" customHeight="1">
      <c r="A5" s="6" t="s">
        <v>21</v>
      </c>
      <c r="B5" s="37">
        <v>46209</v>
      </c>
      <c r="C5" s="37">
        <v>46216</v>
      </c>
      <c r="D5" s="37">
        <v>46223</v>
      </c>
      <c r="E5" s="37">
        <v>46230</v>
      </c>
      <c r="F5" s="37">
        <v>46237</v>
      </c>
      <c r="G5" s="37">
        <v>46244</v>
      </c>
      <c r="H5" s="37">
        <v>46251</v>
      </c>
      <c r="I5" s="37">
        <v>46258</v>
      </c>
      <c r="J5" s="37">
        <v>46265</v>
      </c>
      <c r="K5" s="37">
        <v>46272</v>
      </c>
      <c r="L5" s="37">
        <v>46279</v>
      </c>
      <c r="M5" s="37">
        <v>46286</v>
      </c>
      <c r="N5" s="37">
        <v>46293</v>
      </c>
      <c r="O5" s="37">
        <v>46300</v>
      </c>
      <c r="P5" s="37">
        <v>46307</v>
      </c>
      <c r="Q5" s="37">
        <v>46314</v>
      </c>
      <c r="R5" s="37">
        <v>46321</v>
      </c>
      <c r="S5" s="37">
        <v>46328</v>
      </c>
    </row>
    <row r="6" spans="1:19">
      <c r="A6" s="43" t="s">
        <v>22</v>
      </c>
      <c r="B6" s="48" t="s">
        <v>23</v>
      </c>
      <c r="C6" s="48" t="s">
        <v>23</v>
      </c>
      <c r="D6" s="45" t="s">
        <v>24</v>
      </c>
      <c r="E6" s="45" t="s">
        <v>24</v>
      </c>
      <c r="F6" s="45" t="s">
        <v>24</v>
      </c>
      <c r="G6" s="46" t="s">
        <v>25</v>
      </c>
      <c r="H6" s="45" t="s">
        <v>24</v>
      </c>
      <c r="I6" s="45" t="s">
        <v>24</v>
      </c>
      <c r="J6" s="45" t="s">
        <v>24</v>
      </c>
      <c r="K6" s="43"/>
      <c r="L6" s="43"/>
      <c r="M6" s="43"/>
      <c r="N6" s="43"/>
      <c r="O6" s="43"/>
      <c r="P6" s="43"/>
      <c r="Q6" s="43"/>
      <c r="R6" s="43"/>
      <c r="S6" s="44" t="s">
        <v>26</v>
      </c>
    </row>
    <row r="7" spans="1:19">
      <c r="A7" s="43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4"/>
    </row>
    <row r="8" spans="1:19">
      <c r="A8" s="43"/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4"/>
    </row>
    <row r="9" spans="1:19">
      <c r="A9" s="43"/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4"/>
    </row>
    <row r="10" spans="1:19">
      <c r="A10" s="43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4"/>
    </row>
    <row r="11" spans="1:19">
      <c r="A11" s="43"/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4"/>
    </row>
    <row r="12" spans="1:19">
      <c r="A12" s="43"/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4"/>
    </row>
    <row r="13" spans="1:19">
      <c r="A13" s="43"/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4"/>
    </row>
    <row r="14" spans="1:19" ht="30" customHeight="1">
      <c r="A14" s="8" t="s">
        <v>27</v>
      </c>
      <c r="B14" s="2" t="s">
        <v>28</v>
      </c>
      <c r="C14" s="2" t="s">
        <v>29</v>
      </c>
      <c r="D14" s="9" t="s">
        <v>30</v>
      </c>
      <c r="E14" s="1" t="s">
        <v>31</v>
      </c>
      <c r="F14" s="9" t="s">
        <v>32</v>
      </c>
      <c r="G14" s="10" t="s">
        <v>25</v>
      </c>
      <c r="H14" s="1" t="s">
        <v>33</v>
      </c>
      <c r="I14" s="1" t="s">
        <v>34</v>
      </c>
      <c r="J14" s="1" t="s">
        <v>35</v>
      </c>
      <c r="K14" s="11"/>
      <c r="L14" s="11"/>
      <c r="M14" s="11"/>
      <c r="N14" s="11"/>
      <c r="O14" s="11"/>
      <c r="P14" s="11"/>
      <c r="Q14" s="11"/>
      <c r="R14" s="11"/>
      <c r="S14" s="12" t="s">
        <v>26</v>
      </c>
    </row>
    <row r="16" spans="1:19" ht="15">
      <c r="A16" s="13" t="s">
        <v>36</v>
      </c>
    </row>
    <row r="17" spans="1:8">
      <c r="A17" s="14" t="s">
        <v>24</v>
      </c>
    </row>
    <row r="18" spans="1:8">
      <c r="A18" s="15" t="s">
        <v>37</v>
      </c>
    </row>
    <row r="19" spans="1:8">
      <c r="A19" s="16" t="s">
        <v>38</v>
      </c>
    </row>
    <row r="21" spans="1:8" ht="15">
      <c r="A21" s="13" t="s">
        <v>39</v>
      </c>
    </row>
    <row r="22" spans="1:8">
      <c r="A22" s="17" t="s">
        <v>23</v>
      </c>
      <c r="B22" s="18" t="s">
        <v>40</v>
      </c>
    </row>
    <row r="24" spans="1:8">
      <c r="A24" s="19" t="s">
        <v>25</v>
      </c>
    </row>
    <row r="27" spans="1:8" ht="15">
      <c r="A27" s="13" t="s">
        <v>41</v>
      </c>
      <c r="D27" s="20" t="s">
        <v>42</v>
      </c>
      <c r="E27" s="21"/>
      <c r="F27" s="21"/>
      <c r="G27" s="21"/>
      <c r="H27" s="22" t="s">
        <v>43</v>
      </c>
    </row>
    <row r="28" spans="1:8">
      <c r="A28" s="18" t="s">
        <v>44</v>
      </c>
      <c r="D28" s="23" t="s">
        <v>45</v>
      </c>
      <c r="H28" s="24" t="s">
        <v>43</v>
      </c>
    </row>
    <row r="29" spans="1:8">
      <c r="A29" s="18"/>
      <c r="D29" s="23"/>
      <c r="H29" s="24"/>
    </row>
    <row r="30" spans="1:8" ht="15">
      <c r="A30" s="13" t="s">
        <v>46</v>
      </c>
      <c r="D30" s="23" t="s">
        <v>47</v>
      </c>
      <c r="H30" s="25"/>
    </row>
    <row r="31" spans="1:8">
      <c r="A31" s="2" t="s">
        <v>28</v>
      </c>
      <c r="D31" s="26" t="s">
        <v>48</v>
      </c>
      <c r="E31" s="27"/>
      <c r="F31" s="27"/>
      <c r="G31" s="27"/>
      <c r="H31" s="28"/>
    </row>
    <row r="32" spans="1:8">
      <c r="A32" s="2" t="s">
        <v>29</v>
      </c>
    </row>
    <row r="33" spans="1:1">
      <c r="A33" s="2" t="s">
        <v>33</v>
      </c>
    </row>
    <row r="34" spans="1:1">
      <c r="A34" s="2" t="s">
        <v>49</v>
      </c>
    </row>
    <row r="36" spans="1:1">
      <c r="A36" s="1" t="s">
        <v>28</v>
      </c>
    </row>
    <row r="37" spans="1:1">
      <c r="A37" s="1" t="s">
        <v>50</v>
      </c>
    </row>
    <row r="38" spans="1:1">
      <c r="A38" s="1" t="s">
        <v>51</v>
      </c>
    </row>
    <row r="39" spans="1:1">
      <c r="A39" s="1" t="s">
        <v>31</v>
      </c>
    </row>
    <row r="40" spans="1:1">
      <c r="A40" s="1" t="s">
        <v>52</v>
      </c>
    </row>
    <row r="41" spans="1:1">
      <c r="A41" s="1" t="s">
        <v>33</v>
      </c>
    </row>
    <row r="42" spans="1:1">
      <c r="A42" s="1" t="s">
        <v>34</v>
      </c>
    </row>
    <row r="43" spans="1:1">
      <c r="A43" s="1" t="s">
        <v>35</v>
      </c>
    </row>
    <row r="44" spans="1:1">
      <c r="A44" s="1" t="s">
        <v>49</v>
      </c>
    </row>
  </sheetData>
  <mergeCells count="20">
    <mergeCell ref="A1:C1"/>
    <mergeCell ref="A6:A13"/>
    <mergeCell ref="B6:B13"/>
    <mergeCell ref="C6:C13"/>
    <mergeCell ref="D6:D13"/>
    <mergeCell ref="E6:E13"/>
    <mergeCell ref="F6:F13"/>
    <mergeCell ref="G6:G13"/>
    <mergeCell ref="H6:H13"/>
    <mergeCell ref="I6:I13"/>
    <mergeCell ref="J6:J13"/>
    <mergeCell ref="K6:K13"/>
    <mergeCell ref="L6:L13"/>
    <mergeCell ref="M6:M13"/>
    <mergeCell ref="N6:N13"/>
    <mergeCell ref="O6:O13"/>
    <mergeCell ref="P6:P13"/>
    <mergeCell ref="Q6:Q13"/>
    <mergeCell ref="R6:R13"/>
    <mergeCell ref="S6:S13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4"/>
  <sheetViews>
    <sheetView tabSelected="1" topLeftCell="A22" zoomScale="115" zoomScaleNormal="115" workbookViewId="0">
      <selection activeCell="H9" sqref="H9"/>
    </sheetView>
  </sheetViews>
  <sheetFormatPr baseColWidth="10" defaultColWidth="10.625" defaultRowHeight="14.25"/>
  <cols>
    <col min="1" max="1" width="5.75" customWidth="1"/>
    <col min="2" max="3" width="14.25" customWidth="1"/>
    <col min="4" max="4" width="11.375" customWidth="1"/>
    <col min="5" max="5" width="15" customWidth="1"/>
    <col min="6" max="6" width="21.25" customWidth="1"/>
    <col min="7" max="7" width="12.875" customWidth="1"/>
  </cols>
  <sheetData>
    <row r="1" spans="1:7" ht="21" customHeight="1">
      <c r="A1" s="47" t="s">
        <v>53</v>
      </c>
      <c r="B1" s="47"/>
      <c r="C1" s="47"/>
    </row>
    <row r="3" spans="1:7">
      <c r="A3" s="29"/>
      <c r="B3" s="7" t="s">
        <v>54</v>
      </c>
      <c r="C3" s="7" t="s">
        <v>55</v>
      </c>
      <c r="D3" s="7" t="s">
        <v>56</v>
      </c>
      <c r="E3" s="7" t="s">
        <v>22</v>
      </c>
      <c r="F3" s="7" t="s">
        <v>27</v>
      </c>
      <c r="G3" s="7" t="s">
        <v>57</v>
      </c>
    </row>
    <row r="4" spans="1:7">
      <c r="A4" s="29">
        <v>1</v>
      </c>
      <c r="B4" s="30" t="s">
        <v>58</v>
      </c>
      <c r="C4" s="38">
        <v>46216</v>
      </c>
      <c r="D4" s="30">
        <v>29</v>
      </c>
      <c r="E4" s="31" t="s">
        <v>23</v>
      </c>
      <c r="F4" s="2" t="s">
        <v>29</v>
      </c>
      <c r="G4" s="30">
        <v>4.5</v>
      </c>
    </row>
    <row r="5" spans="1:7">
      <c r="A5" s="29">
        <v>2</v>
      </c>
      <c r="B5" s="30" t="s">
        <v>58</v>
      </c>
      <c r="C5" s="38">
        <v>46216</v>
      </c>
      <c r="D5" s="30">
        <v>29</v>
      </c>
      <c r="E5" s="1" t="s">
        <v>24</v>
      </c>
      <c r="F5" s="1" t="s">
        <v>31</v>
      </c>
      <c r="G5" s="30">
        <v>3</v>
      </c>
    </row>
    <row r="6" spans="1:7">
      <c r="A6" s="29">
        <v>3</v>
      </c>
      <c r="B6" s="30" t="s">
        <v>59</v>
      </c>
      <c r="C6" s="38">
        <v>46217</v>
      </c>
      <c r="D6" s="30">
        <v>29</v>
      </c>
      <c r="E6" s="31" t="s">
        <v>23</v>
      </c>
      <c r="F6" s="2" t="s">
        <v>29</v>
      </c>
      <c r="G6" s="30">
        <v>4</v>
      </c>
    </row>
    <row r="7" spans="1:7">
      <c r="A7" s="29">
        <v>4</v>
      </c>
      <c r="B7" s="30" t="s">
        <v>59</v>
      </c>
      <c r="C7" s="38">
        <v>46217</v>
      </c>
      <c r="D7" s="30">
        <v>29</v>
      </c>
      <c r="E7" s="1" t="s">
        <v>24</v>
      </c>
      <c r="F7" s="9" t="s">
        <v>28</v>
      </c>
      <c r="G7" s="30">
        <v>1</v>
      </c>
    </row>
    <row r="8" spans="1:7">
      <c r="A8" s="29">
        <v>5</v>
      </c>
      <c r="B8" s="30" t="s">
        <v>59</v>
      </c>
      <c r="C8" s="38">
        <v>46217</v>
      </c>
      <c r="D8" s="30">
        <v>29</v>
      </c>
      <c r="E8" s="1" t="s">
        <v>24</v>
      </c>
      <c r="F8" s="9" t="s">
        <v>31</v>
      </c>
      <c r="G8" s="30">
        <v>2</v>
      </c>
    </row>
    <row r="9" spans="1:7">
      <c r="A9" s="29">
        <v>6</v>
      </c>
      <c r="B9" s="30" t="s">
        <v>60</v>
      </c>
      <c r="C9" s="38">
        <v>46218</v>
      </c>
      <c r="D9" s="30">
        <v>29</v>
      </c>
      <c r="E9" s="1" t="s">
        <v>24</v>
      </c>
      <c r="F9" s="1" t="s">
        <v>31</v>
      </c>
      <c r="G9" s="30">
        <v>3.5</v>
      </c>
    </row>
    <row r="10" spans="1:7">
      <c r="A10" s="29">
        <v>7</v>
      </c>
      <c r="B10" s="30" t="s">
        <v>60</v>
      </c>
      <c r="C10" s="38">
        <v>46218</v>
      </c>
      <c r="D10" s="30">
        <v>29</v>
      </c>
      <c r="E10" s="1" t="s">
        <v>24</v>
      </c>
      <c r="F10" s="9" t="s">
        <v>28</v>
      </c>
      <c r="G10" s="30">
        <v>1.5</v>
      </c>
    </row>
    <row r="11" spans="1:7">
      <c r="A11" s="29">
        <v>8</v>
      </c>
      <c r="B11" s="30" t="s">
        <v>61</v>
      </c>
      <c r="C11" s="38">
        <v>46219</v>
      </c>
      <c r="D11" s="30">
        <v>29</v>
      </c>
      <c r="E11" s="1" t="s">
        <v>24</v>
      </c>
      <c r="F11" s="1" t="s">
        <v>31</v>
      </c>
      <c r="G11" s="30">
        <v>8.5</v>
      </c>
    </row>
    <row r="12" spans="1:7">
      <c r="A12" s="29">
        <v>9</v>
      </c>
      <c r="B12" s="30" t="s">
        <v>58</v>
      </c>
      <c r="C12" s="38">
        <v>46223</v>
      </c>
      <c r="D12" s="30">
        <v>30</v>
      </c>
      <c r="E12" s="1" t="s">
        <v>24</v>
      </c>
      <c r="F12" s="1" t="s">
        <v>31</v>
      </c>
      <c r="G12" s="30">
        <v>8.5</v>
      </c>
    </row>
    <row r="13" spans="1:7">
      <c r="A13" s="29">
        <v>10</v>
      </c>
      <c r="B13" s="30" t="s">
        <v>59</v>
      </c>
      <c r="C13" s="38">
        <v>46224</v>
      </c>
      <c r="D13" s="30">
        <v>30</v>
      </c>
      <c r="E13" s="2" t="s">
        <v>23</v>
      </c>
      <c r="F13" s="39" t="s">
        <v>68</v>
      </c>
      <c r="G13" s="30">
        <v>8.5</v>
      </c>
    </row>
    <row r="14" spans="1:7">
      <c r="A14" s="29">
        <v>11</v>
      </c>
      <c r="B14" s="30" t="s">
        <v>60</v>
      </c>
      <c r="C14" s="38">
        <v>46225</v>
      </c>
      <c r="D14" s="30">
        <v>30</v>
      </c>
      <c r="E14" s="2" t="s">
        <v>23</v>
      </c>
      <c r="F14" s="39" t="s">
        <v>68</v>
      </c>
      <c r="G14" s="30">
        <v>4</v>
      </c>
    </row>
    <row r="15" spans="1:7">
      <c r="A15" s="29">
        <v>12</v>
      </c>
      <c r="B15" s="30" t="s">
        <v>60</v>
      </c>
      <c r="C15" s="38">
        <v>46225</v>
      </c>
      <c r="D15" s="30">
        <v>30</v>
      </c>
      <c r="E15" s="1" t="s">
        <v>24</v>
      </c>
      <c r="F15" s="1" t="s">
        <v>31</v>
      </c>
      <c r="G15" s="30">
        <v>4</v>
      </c>
    </row>
    <row r="16" spans="1:7">
      <c r="A16" s="29">
        <v>13</v>
      </c>
      <c r="B16" s="30" t="s">
        <v>61</v>
      </c>
      <c r="C16" s="38">
        <v>46226</v>
      </c>
      <c r="D16" s="30">
        <v>30</v>
      </c>
      <c r="E16" s="1" t="s">
        <v>24</v>
      </c>
      <c r="F16" s="1" t="s">
        <v>28</v>
      </c>
      <c r="G16" s="30">
        <v>4.5</v>
      </c>
    </row>
    <row r="17" spans="1:7">
      <c r="A17" s="29">
        <v>14</v>
      </c>
      <c r="B17" s="30" t="s">
        <v>61</v>
      </c>
      <c r="C17" s="38">
        <v>46226</v>
      </c>
      <c r="D17" s="30">
        <v>30</v>
      </c>
      <c r="E17" s="2" t="s">
        <v>23</v>
      </c>
      <c r="F17" s="39" t="s">
        <v>68</v>
      </c>
      <c r="G17" s="30">
        <v>3</v>
      </c>
    </row>
    <row r="18" spans="1:7">
      <c r="A18" s="29">
        <v>15</v>
      </c>
      <c r="B18" s="30" t="s">
        <v>61</v>
      </c>
      <c r="C18" s="38">
        <v>46226</v>
      </c>
      <c r="D18" s="30">
        <v>30</v>
      </c>
      <c r="E18" s="2" t="s">
        <v>23</v>
      </c>
      <c r="F18" s="2" t="s">
        <v>33</v>
      </c>
      <c r="G18" s="30">
        <v>1</v>
      </c>
    </row>
    <row r="19" spans="1:7">
      <c r="A19" s="29">
        <v>16</v>
      </c>
      <c r="B19" s="30" t="s">
        <v>69</v>
      </c>
      <c r="C19" s="38">
        <v>46227</v>
      </c>
      <c r="D19" s="30">
        <v>30</v>
      </c>
      <c r="E19" s="1" t="s">
        <v>24</v>
      </c>
      <c r="F19" s="1" t="s">
        <v>28</v>
      </c>
      <c r="G19" s="30">
        <v>3</v>
      </c>
    </row>
    <row r="20" spans="1:7">
      <c r="A20" s="29">
        <v>17</v>
      </c>
      <c r="B20" s="30" t="s">
        <v>69</v>
      </c>
      <c r="C20" s="38">
        <v>46227</v>
      </c>
      <c r="D20" s="30">
        <v>30</v>
      </c>
      <c r="E20" s="1" t="s">
        <v>24</v>
      </c>
      <c r="F20" s="1" t="s">
        <v>31</v>
      </c>
      <c r="G20" s="30">
        <v>5</v>
      </c>
    </row>
    <row r="21" spans="1:7">
      <c r="A21" s="29">
        <v>18</v>
      </c>
      <c r="B21" s="30" t="s">
        <v>58</v>
      </c>
      <c r="C21" s="38">
        <v>46230</v>
      </c>
      <c r="D21" s="30">
        <v>31</v>
      </c>
      <c r="E21" s="1" t="s">
        <v>24</v>
      </c>
      <c r="F21" s="1" t="s">
        <v>31</v>
      </c>
      <c r="G21" s="30">
        <v>3</v>
      </c>
    </row>
    <row r="22" spans="1:7">
      <c r="A22" s="29">
        <v>19</v>
      </c>
      <c r="B22" s="30" t="s">
        <v>58</v>
      </c>
      <c r="C22" s="38">
        <v>46230</v>
      </c>
      <c r="D22" s="30">
        <v>31</v>
      </c>
      <c r="E22" s="1" t="s">
        <v>24</v>
      </c>
      <c r="F22" s="1" t="s">
        <v>28</v>
      </c>
      <c r="G22" s="30">
        <v>5</v>
      </c>
    </row>
    <row r="23" spans="1:7">
      <c r="A23" s="29">
        <v>20</v>
      </c>
      <c r="B23" s="30" t="s">
        <v>59</v>
      </c>
      <c r="C23" s="38">
        <v>46231</v>
      </c>
      <c r="D23" s="30">
        <v>31</v>
      </c>
      <c r="E23" s="1" t="s">
        <v>24</v>
      </c>
      <c r="F23" s="1" t="s">
        <v>28</v>
      </c>
      <c r="G23" s="30">
        <v>4</v>
      </c>
    </row>
    <row r="24" spans="1:7">
      <c r="A24" s="29">
        <v>21</v>
      </c>
      <c r="B24" s="30" t="s">
        <v>59</v>
      </c>
      <c r="C24" s="38">
        <v>46231</v>
      </c>
      <c r="D24" s="30">
        <v>31</v>
      </c>
      <c r="E24" s="1" t="s">
        <v>24</v>
      </c>
      <c r="F24" s="1" t="s">
        <v>31</v>
      </c>
      <c r="G24" s="30">
        <v>1</v>
      </c>
    </row>
    <row r="25" spans="1:7">
      <c r="A25" s="29">
        <v>22</v>
      </c>
      <c r="B25" s="30" t="s">
        <v>59</v>
      </c>
      <c r="C25" s="38">
        <v>46231</v>
      </c>
      <c r="D25" s="30">
        <v>31</v>
      </c>
      <c r="E25" s="1" t="s">
        <v>24</v>
      </c>
      <c r="F25" s="1" t="s">
        <v>51</v>
      </c>
      <c r="G25" s="30">
        <v>0.5</v>
      </c>
    </row>
    <row r="26" spans="1:7">
      <c r="A26" s="29">
        <v>23</v>
      </c>
      <c r="B26" s="30"/>
      <c r="C26" s="38"/>
      <c r="D26" s="30"/>
      <c r="E26" s="30"/>
      <c r="F26" s="30"/>
      <c r="G26" s="30"/>
    </row>
    <row r="27" spans="1:7">
      <c r="A27" s="29">
        <v>24</v>
      </c>
      <c r="B27" s="30"/>
      <c r="C27" s="38"/>
      <c r="D27" s="30"/>
      <c r="E27" s="30"/>
      <c r="F27" s="30"/>
      <c r="G27" s="30"/>
    </row>
    <row r="28" spans="1:7">
      <c r="A28" s="29">
        <v>25</v>
      </c>
      <c r="B28" s="30"/>
      <c r="C28" s="38"/>
      <c r="D28" s="30"/>
      <c r="E28" s="30"/>
      <c r="F28" s="30"/>
      <c r="G28" s="30"/>
    </row>
    <row r="29" spans="1:7">
      <c r="A29" s="29">
        <v>26</v>
      </c>
      <c r="B29" s="30"/>
      <c r="C29" s="38"/>
      <c r="D29" s="30"/>
      <c r="E29" s="30"/>
      <c r="F29" s="30"/>
      <c r="G29" s="30"/>
    </row>
    <row r="31" spans="1:7" ht="15">
      <c r="A31" s="13" t="s">
        <v>41</v>
      </c>
    </row>
    <row r="32" spans="1:7">
      <c r="A32" s="54" t="s">
        <v>27</v>
      </c>
      <c r="B32" s="54"/>
      <c r="C32" s="29" t="s">
        <v>62</v>
      </c>
      <c r="D32" s="29" t="s">
        <v>63</v>
      </c>
      <c r="E32" s="29" t="s">
        <v>64</v>
      </c>
      <c r="F32" s="29" t="s">
        <v>65</v>
      </c>
      <c r="G32" s="29" t="s">
        <v>70</v>
      </c>
    </row>
    <row r="33" spans="1:7">
      <c r="A33" s="55" t="s">
        <v>28</v>
      </c>
      <c r="B33" s="55"/>
      <c r="C33" s="32">
        <v>16</v>
      </c>
      <c r="D33" s="28">
        <f>SUMIFS($G$4:$G$1002,$F$4:$F$1002,$A33,$E$4:$E$1002,"Thermostat")</f>
        <v>0</v>
      </c>
      <c r="E33" s="33">
        <f>IF($C33&lt;$D33, $C33/$D33*9+1, $D33/$C33*9+1)</f>
        <v>1</v>
      </c>
      <c r="F33" s="35"/>
      <c r="G33" s="41" t="s">
        <v>73</v>
      </c>
    </row>
    <row r="34" spans="1:7">
      <c r="A34" s="53" t="s">
        <v>29</v>
      </c>
      <c r="B34" s="53"/>
      <c r="C34" s="17">
        <v>8</v>
      </c>
      <c r="D34" s="4">
        <f>SUMIFS($G$4:$G$1002,$F$4:$F$1002,$A34,$E$4:$E$1002,"Thermostat")</f>
        <v>8.5</v>
      </c>
      <c r="E34" s="34">
        <f>IF($C34&lt;$D34, $C34/$D34*9+1, $D34/$C34*9+1)</f>
        <v>9.4705882352941178</v>
      </c>
      <c r="F34" s="35"/>
      <c r="G34" s="40" t="s">
        <v>74</v>
      </c>
    </row>
    <row r="35" spans="1:7">
      <c r="A35" s="53" t="s">
        <v>33</v>
      </c>
      <c r="B35" s="53"/>
      <c r="C35" s="17">
        <v>8</v>
      </c>
      <c r="D35" s="4">
        <f>SUMIFS($G$4:$G$1002,$F$4:$F$1002,$A35,$E$4:$E$1002,"Thermostat")</f>
        <v>1</v>
      </c>
      <c r="E35" s="34">
        <f>IF($C35&lt;$D35, $C35/$D35*9+1, $D35/$C35*9+1)</f>
        <v>2.125</v>
      </c>
      <c r="F35" s="35"/>
      <c r="G35" s="41" t="s">
        <v>72</v>
      </c>
    </row>
    <row r="36" spans="1:7">
      <c r="A36" s="51" t="s">
        <v>68</v>
      </c>
      <c r="B36" s="52"/>
      <c r="C36" s="17">
        <v>4</v>
      </c>
      <c r="D36" s="4">
        <f>SUMIFS($G$4:$G$1002,$F$4:$F$1002,$A36,$E$4:$E$1002,"Thermostat")</f>
        <v>15.5</v>
      </c>
      <c r="E36" s="34">
        <f>IF($C36&lt;$D36, $C36/$D36*9+1, $D36/$C36*9+1)</f>
        <v>3.32258064516129</v>
      </c>
      <c r="F36" s="35"/>
      <c r="G36" s="41" t="s">
        <v>71</v>
      </c>
    </row>
    <row r="37" spans="1:7">
      <c r="A37" s="53" t="s">
        <v>49</v>
      </c>
      <c r="B37" s="53"/>
      <c r="C37" s="17">
        <f>SUM($C33:$C36)</f>
        <v>36</v>
      </c>
      <c r="D37" s="4">
        <f>SUM(D33:D36)</f>
        <v>25</v>
      </c>
      <c r="E37" s="34">
        <f>IF($C37&lt;$D37, $C37/$D37*9+1, $D37/$C37*9+1)</f>
        <v>7.25</v>
      </c>
      <c r="F37" s="35"/>
      <c r="G37" s="42" t="s">
        <v>75</v>
      </c>
    </row>
    <row r="39" spans="1:7">
      <c r="A39" s="54" t="s">
        <v>27</v>
      </c>
      <c r="B39" s="54"/>
      <c r="C39" s="29" t="s">
        <v>62</v>
      </c>
      <c r="D39" s="29" t="s">
        <v>63</v>
      </c>
      <c r="E39" s="29" t="s">
        <v>64</v>
      </c>
      <c r="F39" s="29" t="s">
        <v>65</v>
      </c>
      <c r="G39" s="29" t="s">
        <v>70</v>
      </c>
    </row>
    <row r="40" spans="1:7">
      <c r="A40" s="49" t="s">
        <v>28</v>
      </c>
      <c r="B40" s="50"/>
      <c r="C40" s="14">
        <v>8</v>
      </c>
      <c r="D40" s="4">
        <f t="shared" ref="D40:D47" si="0">SUMIFS($G$4:$G$1002,$F$4:$F$1002,$A40,$E$4:$E$1002,"BauhallenUhr")</f>
        <v>19</v>
      </c>
      <c r="E40" s="34">
        <f t="shared" ref="E40:E48" si="1">IF($C40&lt;$D40, $C40/$D40*9+1, $D40/$C40*9+1)</f>
        <v>4.7894736842105257</v>
      </c>
      <c r="F40" s="34"/>
      <c r="G40" s="56" t="s">
        <v>77</v>
      </c>
    </row>
    <row r="41" spans="1:7">
      <c r="A41" s="49" t="s">
        <v>50</v>
      </c>
      <c r="B41" s="50"/>
      <c r="C41" s="14">
        <v>8</v>
      </c>
      <c r="D41" s="4">
        <f t="shared" si="0"/>
        <v>0</v>
      </c>
      <c r="E41" s="34">
        <f t="shared" si="1"/>
        <v>1</v>
      </c>
      <c r="F41" s="34"/>
      <c r="G41" s="4"/>
    </row>
    <row r="42" spans="1:7">
      <c r="A42" s="49" t="s">
        <v>51</v>
      </c>
      <c r="B42" s="50"/>
      <c r="C42" s="14">
        <v>8</v>
      </c>
      <c r="D42" s="4">
        <f t="shared" si="0"/>
        <v>0.5</v>
      </c>
      <c r="E42" s="34">
        <f t="shared" si="1"/>
        <v>1.5625</v>
      </c>
      <c r="F42" s="34"/>
      <c r="G42" s="4"/>
    </row>
    <row r="43" spans="1:7">
      <c r="A43" s="49" t="s">
        <v>31</v>
      </c>
      <c r="B43" s="50"/>
      <c r="C43" s="14">
        <v>40</v>
      </c>
      <c r="D43" s="4">
        <f t="shared" si="0"/>
        <v>38.5</v>
      </c>
      <c r="E43" s="34">
        <f t="shared" si="1"/>
        <v>9.6624999999999996</v>
      </c>
      <c r="F43" s="33"/>
      <c r="G43" s="4"/>
    </row>
    <row r="44" spans="1:7">
      <c r="A44" s="49" t="s">
        <v>52</v>
      </c>
      <c r="B44" s="50"/>
      <c r="C44" s="14">
        <v>40</v>
      </c>
      <c r="D44" s="4">
        <f t="shared" si="0"/>
        <v>0</v>
      </c>
      <c r="E44" s="34">
        <f t="shared" si="1"/>
        <v>1</v>
      </c>
      <c r="F44" s="34"/>
      <c r="G44" s="4"/>
    </row>
    <row r="45" spans="1:7">
      <c r="A45" s="49" t="s">
        <v>33</v>
      </c>
      <c r="B45" s="50"/>
      <c r="C45" s="14">
        <v>20</v>
      </c>
      <c r="D45" s="4">
        <f t="shared" si="0"/>
        <v>0</v>
      </c>
      <c r="E45" s="34">
        <f t="shared" si="1"/>
        <v>1</v>
      </c>
      <c r="F45" s="34"/>
      <c r="G45" s="4"/>
    </row>
    <row r="46" spans="1:7">
      <c r="A46" s="49" t="s">
        <v>34</v>
      </c>
      <c r="B46" s="50"/>
      <c r="C46" s="14">
        <v>15</v>
      </c>
      <c r="D46" s="4">
        <f t="shared" si="0"/>
        <v>0</v>
      </c>
      <c r="E46" s="34">
        <f t="shared" si="1"/>
        <v>1</v>
      </c>
      <c r="F46" s="34"/>
      <c r="G46" s="4"/>
    </row>
    <row r="47" spans="1:7">
      <c r="A47" s="49" t="s">
        <v>35</v>
      </c>
      <c r="B47" s="50"/>
      <c r="C47" s="14">
        <v>15</v>
      </c>
      <c r="D47" s="4">
        <f t="shared" si="0"/>
        <v>0</v>
      </c>
      <c r="E47" s="34">
        <f t="shared" si="1"/>
        <v>1</v>
      </c>
      <c r="F47" s="33"/>
      <c r="G47" s="4"/>
    </row>
    <row r="48" spans="1:7">
      <c r="A48" s="49" t="s">
        <v>49</v>
      </c>
      <c r="B48" s="50"/>
      <c r="C48" s="14">
        <f>SUM($C40:$C47)</f>
        <v>154</v>
      </c>
      <c r="D48" s="4">
        <f>SUM(D40:D47)</f>
        <v>58</v>
      </c>
      <c r="E48" s="34">
        <f t="shared" si="1"/>
        <v>4.3896103896103895</v>
      </c>
      <c r="F48" s="33"/>
      <c r="G48" s="4"/>
    </row>
    <row r="50" spans="1:2">
      <c r="A50" s="19"/>
      <c r="B50" s="4" t="s">
        <v>66</v>
      </c>
    </row>
    <row r="51" spans="1:2">
      <c r="A51" s="36"/>
      <c r="B51" s="4" t="s">
        <v>67</v>
      </c>
    </row>
    <row r="53" spans="1:2">
      <c r="A53" s="57" t="s">
        <v>77</v>
      </c>
      <c r="B53" t="s">
        <v>76</v>
      </c>
    </row>
    <row r="54" spans="1:2">
      <c r="A54" s="57"/>
      <c r="B54" t="s">
        <v>78</v>
      </c>
    </row>
  </sheetData>
  <mergeCells count="18">
    <mergeCell ref="A53:A54"/>
    <mergeCell ref="A39:B39"/>
    <mergeCell ref="A43:B43"/>
    <mergeCell ref="A42:B42"/>
    <mergeCell ref="A41:B41"/>
    <mergeCell ref="A40:B40"/>
    <mergeCell ref="A36:B36"/>
    <mergeCell ref="A37:B37"/>
    <mergeCell ref="A1:C1"/>
    <mergeCell ref="A32:B32"/>
    <mergeCell ref="A33:B33"/>
    <mergeCell ref="A34:B34"/>
    <mergeCell ref="A35:B35"/>
    <mergeCell ref="A44:B44"/>
    <mergeCell ref="A45:B45"/>
    <mergeCell ref="A46:B46"/>
    <mergeCell ref="A47:B47"/>
    <mergeCell ref="A48:B48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Zeitplan wöchentlich</vt:lpstr>
      <vt:lpstr>Arbeitseinträge täglich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Hüppi Manuel Luca</dc:creator>
  <dc:description/>
  <cp:lastModifiedBy>Hüppi  Manuel</cp:lastModifiedBy>
  <cp:revision>0</cp:revision>
  <dcterms:created xsi:type="dcterms:W3CDTF">2026-07-10T06:01:13Z</dcterms:created>
  <dcterms:modified xsi:type="dcterms:W3CDTF">2026-07-28T14:32:20Z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0x01010065EE5B4F10267B43AF5333D0E55CB68B</vt:lpwstr>
  </property>
</Properties>
</file>